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ario" sheetId="1" state="visible" r:id="rId3"/>
    <sheet name="df_renda" sheetId="2" state="visible" r:id="rId4"/>
    <sheet name="rend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<sst xmlns="http://schemas.openxmlformats.org/spreadsheetml/2006/main" count="112" uniqueCount="56">
  <si>
    <t xml:space="preserve">FAIXAS DE RENDA – ANO BASE 2023</t>
  </si>
  <si>
    <t xml:space="preserve">Parâmetros</t>
  </si>
  <si>
    <t xml:space="preserve">uf – unidade federativa</t>
  </si>
  <si>
    <t xml:space="preserve">pop – população</t>
  </si>
  <si>
    <t xml:space="preserve">Fonte IBGE – dados do ano de 2023</t>
  </si>
  <si>
    <t xml:space="preserve">pib_est – produto estadual </t>
  </si>
  <si>
    <t xml:space="preserve">pib_per_est – produto per capita estadual</t>
  </si>
  <si>
    <t xml:space="preserve">media_nacional – média da renda per capita nacional</t>
  </si>
  <si>
    <t xml:space="preserve">ratio_media – distância relativa da média nacional</t>
  </si>
  <si>
    <t xml:space="preserve">grupo_renda – classificação (alta, média e baixa)</t>
  </si>
  <si>
    <t xml:space="preserve">renda_relativa</t>
  </si>
  <si>
    <t xml:space="preserve">d_renda_alt – dummy – renda (1 se sim, 0 ao contrário) – acima de 1,2</t>
  </si>
  <si>
    <t xml:space="preserve">Comparação em relação a média da renda per capita nacional em 2023. Não é a renda per capita nacional</t>
  </si>
  <si>
    <t xml:space="preserve">d_renda_med – dummy – média (1 se sim, 0 ao contrário) – entre 1,2 e 0,8</t>
  </si>
  <si>
    <t xml:space="preserve">d_renda_bai – dummy – baixa (1 se sim, 0 ao contrário) – abaixo de 0,8</t>
  </si>
  <si>
    <t xml:space="preserve">uf</t>
  </si>
  <si>
    <t xml:space="preserve">ano</t>
  </si>
  <si>
    <t xml:space="preserve">pop_est</t>
  </si>
  <si>
    <t xml:space="preserve">pib_est</t>
  </si>
  <si>
    <t xml:space="preserve">pib_per_est</t>
  </si>
  <si>
    <t xml:space="preserve">media_nacional</t>
  </si>
  <si>
    <t xml:space="preserve">ratio_media</t>
  </si>
  <si>
    <t xml:space="preserve">grupo_renda</t>
  </si>
  <si>
    <t xml:space="preserve">d_renda_alt</t>
  </si>
  <si>
    <t xml:space="preserve">d_renda_bai</t>
  </si>
  <si>
    <t xml:space="preserve">d_renda_med</t>
  </si>
  <si>
    <t xml:space="preserve">AC</t>
  </si>
  <si>
    <t xml:space="preserve">Baixa Renda</t>
  </si>
  <si>
    <t xml:space="preserve">AL</t>
  </si>
  <si>
    <t xml:space="preserve">AM</t>
  </si>
  <si>
    <t xml:space="preserve">Média Renda</t>
  </si>
  <si>
    <t xml:space="preserve">AP</t>
  </si>
  <si>
    <t xml:space="preserve">BA</t>
  </si>
  <si>
    <t xml:space="preserve">CE</t>
  </si>
  <si>
    <t xml:space="preserve">DF</t>
  </si>
  <si>
    <t xml:space="preserve">Alta Renda</t>
  </si>
  <si>
    <t xml:space="preserve">ES</t>
  </si>
  <si>
    <t xml:space="preserve">GO</t>
  </si>
  <si>
    <t xml:space="preserve">MA</t>
  </si>
  <si>
    <t xml:space="preserve">MG</t>
  </si>
  <si>
    <t xml:space="preserve">MS</t>
  </si>
  <si>
    <t xml:space="preserve">MT</t>
  </si>
  <si>
    <t xml:space="preserve">PA</t>
  </si>
  <si>
    <t xml:space="preserve">PB</t>
  </si>
  <si>
    <t xml:space="preserve">PE</t>
  </si>
  <si>
    <t xml:space="preserve">PI</t>
  </si>
  <si>
    <t xml:space="preserve">PR</t>
  </si>
  <si>
    <t xml:space="preserve">RJ</t>
  </si>
  <si>
    <t xml:space="preserve">RN</t>
  </si>
  <si>
    <t xml:space="preserve">RO</t>
  </si>
  <si>
    <t xml:space="preserve">RR</t>
  </si>
  <si>
    <t xml:space="preserve">RS</t>
  </si>
  <si>
    <t xml:space="preserve">SC</t>
  </si>
  <si>
    <t xml:space="preserve">SE</t>
  </si>
  <si>
    <t xml:space="preserve">SP</t>
  </si>
  <si>
    <t xml:space="preserve">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</si>
</sst>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* #,##0.00\ ;* \(#,##0.00\);* \-#\ ;@\ "/>
    <numFmt numFmtId="166" formatCode="#,##0"/>
    <numFmt numFmtId="167" formatCode="#,##0.00;[RED]\-#,##0.00"/>
    <numFmt numFmtId="168" formatCode="#,##0.00"/>
    <numFmt numFmtId="169" formatCode="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D74C"/>
        <bgColor rgb="FFFFCC99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3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Separador de milhares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4C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43"/>
    <col collapsed="false" customWidth="true" hidden="false" outlineLevel="0" max="2" min="2" style="1" width="77.99"/>
    <col collapsed="false" customWidth="false" hidden="false" outlineLevel="0" max="7" min="3" style="1" width="11.53"/>
    <col collapsed="false" customWidth="false" hidden="false" outlineLevel="0" max="16384" min="8" style="2" width="11.53"/>
  </cols>
  <sheetData>
    <row r="1" customFormat="false" ht="12.8" hidden="false" customHeight="false" outlineLevel="0" collapsed="false">
      <c r="A1" s="3" t="s">
        <v>0</v>
      </c>
      <c r="B1" s="3"/>
      <c r="C1" s="4"/>
      <c r="D1" s="4"/>
      <c r="E1" s="4"/>
      <c r="F1" s="4"/>
    </row>
    <row r="2" customFormat="false" ht="13" hidden="false" customHeight="false" outlineLevel="0" collapsed="false">
      <c r="A2" s="5" t="s">
        <v>1</v>
      </c>
      <c r="B2" s="6"/>
      <c r="C2" s="4"/>
      <c r="D2" s="4"/>
      <c r="E2" s="4"/>
      <c r="F2" s="4"/>
    </row>
    <row r="3" customFormat="false" ht="12.8" hidden="false" customHeight="false" outlineLevel="0" collapsed="false">
      <c r="A3" s="7" t="s">
        <v>2</v>
      </c>
    </row>
    <row r="4" customFormat="false" ht="12.8" hidden="false" customHeight="false" outlineLevel="0" collapsed="false">
      <c r="A4" s="8" t="s">
        <v>3</v>
      </c>
      <c r="B4" s="9" t="s">
        <v>4</v>
      </c>
    </row>
    <row r="5" customFormat="false" ht="12.8" hidden="false" customHeight="false" outlineLevel="0" collapsed="false">
      <c r="A5" s="10" t="s">
        <v>5</v>
      </c>
      <c r="B5" s="9"/>
    </row>
    <row r="6" customFormat="false" ht="12.8" hidden="false" customHeight="false" outlineLevel="0" collapsed="false">
      <c r="A6" s="11" t="s">
        <v>6</v>
      </c>
      <c r="B6" s="9"/>
    </row>
    <row r="7" customFormat="false" ht="12.8" hidden="false" customHeight="false" outlineLevel="0" collapsed="false">
      <c r="A7" s="12" t="s">
        <v>7</v>
      </c>
    </row>
    <row r="8" customFormat="false" ht="12.8" hidden="false" customHeight="false" outlineLevel="0" collapsed="false">
      <c r="A8" s="13" t="s">
        <v>8</v>
      </c>
    </row>
    <row r="9" customFormat="false" ht="12.8" hidden="false" customHeight="false" outlineLevel="0" collapsed="false">
      <c r="A9" s="14" t="s">
        <v>9</v>
      </c>
    </row>
    <row r="10" customFormat="false" ht="12.8" hidden="false" customHeight="false" outlineLevel="0" collapsed="false">
      <c r="A10" s="13" t="s">
        <v>10</v>
      </c>
    </row>
    <row r="11" customFormat="false" ht="12.8" hidden="false" customHeight="true" outlineLevel="0" collapsed="false">
      <c r="A11" s="4" t="s">
        <v>11</v>
      </c>
      <c r="B11" s="15" t="s">
        <v>12</v>
      </c>
    </row>
    <row r="12" customFormat="false" ht="12.8" hidden="false" customHeight="false" outlineLevel="0" collapsed="false">
      <c r="A12" s="4" t="s">
        <v>13</v>
      </c>
      <c r="B12" s="15"/>
    </row>
    <row r="13" customFormat="false" ht="12.8" hidden="false" customHeight="false" outlineLevel="0" collapsed="false">
      <c r="A13" s="4" t="s">
        <v>14</v>
      </c>
      <c r="B13" s="15"/>
    </row>
  </sheetData>
  <mergeCells count="2">
    <mergeCell ref="B4:B6"/>
    <mergeCell ref="B11:B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" activeCellId="1" sqref="A1:B13 I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4.42"/>
    <col collapsed="false" customWidth="true" hidden="false" outlineLevel="0" max="2" min="2" style="2" width="5.4"/>
    <col collapsed="false" customWidth="true" hidden="false" outlineLevel="0" max="3" min="3" style="16" width="12.69"/>
    <col collapsed="false" customWidth="true" hidden="false" outlineLevel="0" max="4" min="4" style="16" width="18.53"/>
    <col collapsed="false" customWidth="true" hidden="false" outlineLevel="0" max="6" min="5" style="16" width="16.58"/>
    <col collapsed="false" customWidth="true" hidden="false" outlineLevel="0" max="7" min="7" style="17" width="12.45"/>
    <col collapsed="false" customWidth="true" hidden="false" outlineLevel="0" max="8" min="8" style="2" width="15.08"/>
    <col collapsed="false" customWidth="true" hidden="false" outlineLevel="0" max="9" min="9" style="18" width="19.14"/>
    <col collapsed="false" customWidth="true" hidden="false" outlineLevel="0" max="10" min="10" style="18" width="20.6"/>
    <col collapsed="false" customWidth="true" hidden="false" outlineLevel="0" max="11" min="11" style="18" width="21.45"/>
    <col collapsed="false" customWidth="false" hidden="false" outlineLevel="0" max="16384" min="12" style="2" width="11.53"/>
  </cols>
  <sheetData>
    <row r="1" customFormat="false" ht="12.8" hidden="false" customHeight="false" outlineLevel="0" collapsed="false">
      <c r="A1" s="19" t="s">
        <v>15</v>
      </c>
      <c r="B1" s="19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21" t="s">
        <v>21</v>
      </c>
      <c r="H1" s="19" t="s">
        <v>22</v>
      </c>
      <c r="I1" s="19" t="s">
        <v>23</v>
      </c>
      <c r="J1" s="19" t="s">
        <v>24</v>
      </c>
      <c r="K1" s="19" t="s">
        <v>25</v>
      </c>
    </row>
    <row r="2" customFormat="false" ht="12.8" hidden="false" customHeight="false" outlineLevel="0" collapsed="false">
      <c r="A2" s="2" t="s">
        <v>26</v>
      </c>
      <c r="B2" s="2" t="n">
        <v>2023</v>
      </c>
      <c r="C2" s="16" t="n">
        <v>876582</v>
      </c>
      <c r="D2" s="16" t="n">
        <v>26291321364.4799</v>
      </c>
      <c r="E2" s="16" t="n">
        <v>29992.9970778317</v>
      </c>
      <c r="F2" s="16" t="n">
        <v>45025.8737992863</v>
      </c>
      <c r="G2" s="17" t="n">
        <v>0.666128040324831</v>
      </c>
      <c r="H2" s="2" t="s">
        <v>27</v>
      </c>
      <c r="I2" s="18" t="n">
        <v>0</v>
      </c>
      <c r="J2" s="18" t="n">
        <v>1</v>
      </c>
      <c r="K2" s="18" t="n">
        <v>0</v>
      </c>
    </row>
    <row r="3" customFormat="false" ht="12.8" hidden="false" customHeight="false" outlineLevel="0" collapsed="false">
      <c r="A3" s="2" t="s">
        <v>28</v>
      </c>
      <c r="B3" s="2" t="n">
        <v>2023</v>
      </c>
      <c r="C3" s="16" t="n">
        <v>3218607</v>
      </c>
      <c r="D3" s="16" t="n">
        <v>89688931894.2257</v>
      </c>
      <c r="E3" s="16" t="n">
        <v>27865.7605275281</v>
      </c>
      <c r="F3" s="16" t="n">
        <v>45025.8737992863</v>
      </c>
      <c r="G3" s="17" t="n">
        <v>0.618883281460488</v>
      </c>
      <c r="H3" s="2" t="s">
        <v>27</v>
      </c>
      <c r="I3" s="18" t="n">
        <v>0</v>
      </c>
      <c r="J3" s="18" t="n">
        <v>1</v>
      </c>
      <c r="K3" s="18" t="n">
        <v>0</v>
      </c>
    </row>
    <row r="4" customFormat="false" ht="12.8" hidden="false" customHeight="false" outlineLevel="0" collapsed="false">
      <c r="A4" s="2" t="s">
        <v>29</v>
      </c>
      <c r="B4" s="2" t="n">
        <v>2023</v>
      </c>
      <c r="C4" s="16" t="n">
        <v>4240571</v>
      </c>
      <c r="D4" s="16" t="n">
        <v>161794976396.87</v>
      </c>
      <c r="E4" s="16" t="n">
        <v>38154.0543471316</v>
      </c>
      <c r="F4" s="16" t="n">
        <v>45025.8737992863</v>
      </c>
      <c r="G4" s="17" t="n">
        <v>0.847380653115418</v>
      </c>
      <c r="H4" s="2" t="s">
        <v>30</v>
      </c>
      <c r="I4" s="18" t="n">
        <v>0</v>
      </c>
      <c r="J4" s="18" t="n">
        <v>0</v>
      </c>
      <c r="K4" s="18" t="n">
        <v>1</v>
      </c>
    </row>
    <row r="5" customFormat="false" ht="12.8" hidden="false" customHeight="false" outlineLevel="0" collapsed="false">
      <c r="A5" s="2" t="s">
        <v>31</v>
      </c>
      <c r="B5" s="2" t="n">
        <v>2023</v>
      </c>
      <c r="C5" s="16" t="n">
        <v>799124</v>
      </c>
      <c r="D5" s="16" t="n">
        <v>28020119554.4318</v>
      </c>
      <c r="E5" s="16" t="n">
        <v>35063.5440237458</v>
      </c>
      <c r="F5" s="16" t="n">
        <v>45025.8737992863</v>
      </c>
      <c r="G5" s="17" t="n">
        <v>0.778742111259185</v>
      </c>
      <c r="H5" s="2" t="s">
        <v>27</v>
      </c>
      <c r="I5" s="18" t="n">
        <v>0</v>
      </c>
      <c r="J5" s="18" t="n">
        <v>1</v>
      </c>
      <c r="K5" s="18" t="n">
        <v>0</v>
      </c>
    </row>
    <row r="6" customFormat="false" ht="12.8" hidden="false" customHeight="false" outlineLevel="0" collapsed="false">
      <c r="A6" s="2" t="s">
        <v>32</v>
      </c>
      <c r="B6" s="2" t="n">
        <v>2023</v>
      </c>
      <c r="C6" s="16" t="n">
        <v>14828806</v>
      </c>
      <c r="D6" s="16" t="n">
        <v>430987853106.59</v>
      </c>
      <c r="E6" s="16" t="n">
        <v>29064.231678976</v>
      </c>
      <c r="F6" s="16" t="n">
        <v>45025.8737992863</v>
      </c>
      <c r="G6" s="17" t="n">
        <v>0.645500669427024</v>
      </c>
      <c r="H6" s="2" t="s">
        <v>27</v>
      </c>
      <c r="I6" s="18" t="n">
        <v>0</v>
      </c>
      <c r="J6" s="18" t="n">
        <v>1</v>
      </c>
      <c r="K6" s="18" t="n">
        <v>0</v>
      </c>
    </row>
    <row r="7" customFormat="false" ht="12.8" hidden="false" customHeight="false" outlineLevel="0" collapsed="false">
      <c r="A7" s="2" t="s">
        <v>33</v>
      </c>
      <c r="B7" s="2" t="n">
        <v>2023</v>
      </c>
      <c r="C7" s="16" t="n">
        <v>9196672</v>
      </c>
      <c r="D7" s="16" t="n">
        <v>232239256519.666</v>
      </c>
      <c r="E7" s="16" t="n">
        <v>25252.5322768569</v>
      </c>
      <c r="F7" s="16" t="n">
        <v>45025.8737992863</v>
      </c>
      <c r="G7" s="17" t="n">
        <v>0.560844913069898</v>
      </c>
      <c r="H7" s="2" t="s">
        <v>27</v>
      </c>
      <c r="I7" s="18" t="n">
        <v>0</v>
      </c>
      <c r="J7" s="18" t="n">
        <v>1</v>
      </c>
      <c r="K7" s="18" t="n">
        <v>0</v>
      </c>
    </row>
    <row r="8" customFormat="false" ht="12.8" hidden="false" customHeight="false" outlineLevel="0" collapsed="false">
      <c r="A8" s="2" t="s">
        <v>34</v>
      </c>
      <c r="B8" s="2" t="n">
        <v>2023</v>
      </c>
      <c r="C8" s="16" t="n">
        <v>2967543</v>
      </c>
      <c r="D8" s="16" t="n">
        <v>365669107906.195</v>
      </c>
      <c r="E8" s="16" t="n">
        <v>123222.850656653</v>
      </c>
      <c r="F8" s="16" t="n">
        <v>45025.8737992863</v>
      </c>
      <c r="G8" s="17" t="n">
        <v>2.73671203375083</v>
      </c>
      <c r="H8" s="2" t="s">
        <v>35</v>
      </c>
      <c r="I8" s="18" t="n">
        <v>1</v>
      </c>
      <c r="J8" s="18" t="n">
        <v>0</v>
      </c>
      <c r="K8" s="18" t="n">
        <v>0</v>
      </c>
    </row>
    <row r="9" customFormat="false" ht="12.8" hidden="false" customHeight="false" outlineLevel="0" collapsed="false">
      <c r="A9" s="2" t="s">
        <v>36</v>
      </c>
      <c r="B9" s="2" t="n">
        <v>2023</v>
      </c>
      <c r="C9" s="16" t="n">
        <v>4076068</v>
      </c>
      <c r="D9" s="16" t="n">
        <v>209829732286.829</v>
      </c>
      <c r="E9" s="16" t="n">
        <v>51478.4670635595</v>
      </c>
      <c r="F9" s="16" t="n">
        <v>45025.8737992863</v>
      </c>
      <c r="G9" s="17" t="n">
        <v>1.1433085628285</v>
      </c>
      <c r="H9" s="2" t="s">
        <v>30</v>
      </c>
      <c r="I9" s="18" t="n">
        <v>0</v>
      </c>
      <c r="J9" s="18" t="n">
        <v>0</v>
      </c>
      <c r="K9" s="18" t="n">
        <v>1</v>
      </c>
    </row>
    <row r="10" customFormat="false" ht="12.8" hidden="false" customHeight="false" outlineLevel="0" collapsed="false">
      <c r="A10" s="2" t="s">
        <v>37</v>
      </c>
      <c r="B10" s="2" t="n">
        <v>2023</v>
      </c>
      <c r="C10" s="16" t="n">
        <v>7274463</v>
      </c>
      <c r="D10" s="16" t="n">
        <v>336746975091.114</v>
      </c>
      <c r="E10" s="16" t="n">
        <v>46291.6609914868</v>
      </c>
      <c r="F10" s="16" t="n">
        <v>45025.8737992863</v>
      </c>
      <c r="G10" s="17" t="n">
        <v>1.02811244036802</v>
      </c>
      <c r="H10" s="2" t="s">
        <v>30</v>
      </c>
      <c r="I10" s="18" t="n">
        <v>0</v>
      </c>
      <c r="J10" s="18" t="n">
        <v>0</v>
      </c>
      <c r="K10" s="18" t="n">
        <v>1</v>
      </c>
    </row>
    <row r="11" customFormat="false" ht="12.8" hidden="false" customHeight="false" outlineLevel="0" collapsed="false">
      <c r="A11" s="2" t="s">
        <v>38</v>
      </c>
      <c r="B11" s="2" t="n">
        <v>2023</v>
      </c>
      <c r="C11" s="16" t="n">
        <v>7003234</v>
      </c>
      <c r="D11" s="16" t="n">
        <v>149227194602.436</v>
      </c>
      <c r="E11" s="16" t="n">
        <v>21308.3262107815</v>
      </c>
      <c r="F11" s="16" t="n">
        <v>45025.8737992863</v>
      </c>
      <c r="G11" s="17" t="n">
        <v>0.47324625626964</v>
      </c>
      <c r="H11" s="2" t="s">
        <v>27</v>
      </c>
      <c r="I11" s="18" t="n">
        <v>0</v>
      </c>
      <c r="J11" s="18" t="n">
        <v>1</v>
      </c>
      <c r="K11" s="18" t="n">
        <v>0</v>
      </c>
    </row>
    <row r="12" customFormat="false" ht="12.8" hidden="false" customHeight="false" outlineLevel="0" collapsed="false">
      <c r="A12" s="2" t="s">
        <v>39</v>
      </c>
      <c r="B12" s="2" t="n">
        <v>2023</v>
      </c>
      <c r="C12" s="16" t="n">
        <v>21247401</v>
      </c>
      <c r="D12" s="16" t="n">
        <v>971977550884.905</v>
      </c>
      <c r="E12" s="16" t="n">
        <v>45745.715011681</v>
      </c>
      <c r="F12" s="16" t="n">
        <v>45025.8737992863</v>
      </c>
      <c r="G12" s="17" t="n">
        <v>1.01598727912763</v>
      </c>
      <c r="H12" s="2" t="s">
        <v>30</v>
      </c>
      <c r="I12" s="18" t="n">
        <v>0</v>
      </c>
      <c r="J12" s="18" t="n">
        <v>0</v>
      </c>
      <c r="K12" s="18" t="n">
        <v>1</v>
      </c>
    </row>
    <row r="13" customFormat="false" ht="12.8" hidden="false" customHeight="false" outlineLevel="0" collapsed="false">
      <c r="A13" s="2" t="s">
        <v>40</v>
      </c>
      <c r="B13" s="2" t="n">
        <v>2023</v>
      </c>
      <c r="C13" s="16" t="n">
        <v>2878009</v>
      </c>
      <c r="D13" s="16" t="n">
        <v>184402118243.339</v>
      </c>
      <c r="E13" s="16" t="n">
        <v>64072.8080570071</v>
      </c>
      <c r="F13" s="16" t="n">
        <v>45025.8737992863</v>
      </c>
      <c r="G13" s="17" t="n">
        <v>1.42302197937628</v>
      </c>
      <c r="H13" s="2" t="s">
        <v>35</v>
      </c>
      <c r="I13" s="18" t="n">
        <v>1</v>
      </c>
      <c r="J13" s="18" t="n">
        <v>0</v>
      </c>
      <c r="K13" s="18" t="n">
        <v>0</v>
      </c>
    </row>
    <row r="14" customFormat="false" ht="12.8" hidden="false" customHeight="false" outlineLevel="0" collapsed="false">
      <c r="A14" s="2" t="s">
        <v>41</v>
      </c>
      <c r="B14" s="2" t="n">
        <v>2023</v>
      </c>
      <c r="C14" s="16" t="n">
        <v>3778389</v>
      </c>
      <c r="D14" s="16" t="n">
        <v>273008585685.231</v>
      </c>
      <c r="E14" s="16" t="n">
        <v>72255.2880831569</v>
      </c>
      <c r="F14" s="16" t="n">
        <v>45025.8737992863</v>
      </c>
      <c r="G14" s="17" t="n">
        <v>1.60475037986497</v>
      </c>
      <c r="H14" s="2" t="s">
        <v>35</v>
      </c>
      <c r="I14" s="18" t="n">
        <v>1</v>
      </c>
      <c r="J14" s="18" t="n">
        <v>0</v>
      </c>
      <c r="K14" s="18" t="n">
        <v>0</v>
      </c>
    </row>
    <row r="15" customFormat="false" ht="12.8" hidden="false" customHeight="false" outlineLevel="0" collapsed="false">
      <c r="A15" s="2" t="s">
        <v>42</v>
      </c>
      <c r="B15" s="2" t="n">
        <v>2023</v>
      </c>
      <c r="C15" s="16" t="n">
        <v>8616120</v>
      </c>
      <c r="D15" s="16" t="n">
        <v>254546511204.228</v>
      </c>
      <c r="E15" s="16" t="n">
        <v>29543.0554825406</v>
      </c>
      <c r="F15" s="16" t="n">
        <v>45025.8737992863</v>
      </c>
      <c r="G15" s="17" t="n">
        <v>0.656135083890563</v>
      </c>
      <c r="H15" s="2" t="s">
        <v>27</v>
      </c>
      <c r="I15" s="18" t="n">
        <v>0</v>
      </c>
      <c r="J15" s="18" t="n">
        <v>1</v>
      </c>
      <c r="K15" s="18" t="n">
        <v>0</v>
      </c>
    </row>
    <row r="16" customFormat="false" ht="12.8" hidden="false" customHeight="false" outlineLevel="0" collapsed="false">
      <c r="A16" s="2" t="s">
        <v>43</v>
      </c>
      <c r="B16" s="2" t="n">
        <v>2023</v>
      </c>
      <c r="C16" s="16" t="n">
        <v>4124468</v>
      </c>
      <c r="D16" s="16" t="n">
        <v>96963173980.7637</v>
      </c>
      <c r="E16" s="16" t="n">
        <v>23509.255976956</v>
      </c>
      <c r="F16" s="16" t="n">
        <v>45025.8737992863</v>
      </c>
      <c r="G16" s="17" t="n">
        <v>0.522127701102575</v>
      </c>
      <c r="H16" s="2" t="s">
        <v>27</v>
      </c>
      <c r="I16" s="18" t="n">
        <v>0</v>
      </c>
      <c r="J16" s="18" t="n">
        <v>1</v>
      </c>
      <c r="K16" s="18" t="n">
        <v>0</v>
      </c>
    </row>
    <row r="17" customFormat="false" ht="12.8" hidden="false" customHeight="false" outlineLevel="0" collapsed="false">
      <c r="A17" s="2" t="s">
        <v>44</v>
      </c>
      <c r="B17" s="2" t="n">
        <v>2023</v>
      </c>
      <c r="C17" s="16" t="n">
        <v>9514483</v>
      </c>
      <c r="D17" s="16" t="n">
        <v>270474919454.315</v>
      </c>
      <c r="E17" s="16" t="n">
        <v>28427.7053681545</v>
      </c>
      <c r="F17" s="16" t="n">
        <v>45025.8737992863</v>
      </c>
      <c r="G17" s="17" t="n">
        <v>0.631363768638403</v>
      </c>
      <c r="H17" s="2" t="s">
        <v>27</v>
      </c>
      <c r="I17" s="18" t="n">
        <v>0</v>
      </c>
      <c r="J17" s="18" t="n">
        <v>1</v>
      </c>
      <c r="K17" s="18" t="n">
        <v>0</v>
      </c>
    </row>
    <row r="18" customFormat="false" ht="12.8" hidden="false" customHeight="false" outlineLevel="0" collapsed="false">
      <c r="A18" s="2" t="s">
        <v>45</v>
      </c>
      <c r="B18" s="2" t="n">
        <v>2023</v>
      </c>
      <c r="C18" s="16" t="n">
        <v>3365881</v>
      </c>
      <c r="D18" s="16" t="n">
        <v>80916856498.5588</v>
      </c>
      <c r="E18" s="16" t="n">
        <v>24040.3200524792</v>
      </c>
      <c r="F18" s="16" t="n">
        <v>45025.8737992863</v>
      </c>
      <c r="G18" s="17" t="n">
        <v>0.533922343398481</v>
      </c>
      <c r="H18" s="2" t="s">
        <v>27</v>
      </c>
      <c r="I18" s="18" t="n">
        <v>0</v>
      </c>
      <c r="J18" s="18" t="n">
        <v>1</v>
      </c>
      <c r="K18" s="18" t="n">
        <v>0</v>
      </c>
    </row>
    <row r="19" customFormat="false" ht="12.8" hidden="false" customHeight="false" outlineLevel="0" collapsed="false">
      <c r="A19" s="2" t="s">
        <v>46</v>
      </c>
      <c r="B19" s="2" t="n">
        <v>2023</v>
      </c>
      <c r="C19" s="16" t="n">
        <v>11753862</v>
      </c>
      <c r="D19" s="16" t="n">
        <v>670919162170.899</v>
      </c>
      <c r="E19" s="16" t="n">
        <v>57080.7418166811</v>
      </c>
      <c r="F19" s="16" t="n">
        <v>45025.8737992863</v>
      </c>
      <c r="G19" s="17" t="n">
        <v>1.267732017176</v>
      </c>
      <c r="H19" s="2" t="s">
        <v>35</v>
      </c>
      <c r="I19" s="18" t="n">
        <v>1</v>
      </c>
      <c r="J19" s="18" t="n">
        <v>0</v>
      </c>
      <c r="K19" s="18" t="n">
        <v>0</v>
      </c>
    </row>
    <row r="20" customFormat="false" ht="12.8" hidden="false" customHeight="false" outlineLevel="0" collapsed="false">
      <c r="A20" s="2" t="s">
        <v>47</v>
      </c>
      <c r="B20" s="2" t="n">
        <v>2023</v>
      </c>
      <c r="C20" s="16" t="n">
        <v>17213813</v>
      </c>
      <c r="D20" s="16" t="n">
        <v>1172871443365.97</v>
      </c>
      <c r="E20" s="16" t="n">
        <v>68135.4818578528</v>
      </c>
      <c r="F20" s="16" t="n">
        <v>45025.8737992863</v>
      </c>
      <c r="G20" s="17" t="n">
        <v>1.51325173969046</v>
      </c>
      <c r="H20" s="2" t="s">
        <v>35</v>
      </c>
      <c r="I20" s="18" t="n">
        <v>1</v>
      </c>
      <c r="J20" s="18" t="n">
        <v>0</v>
      </c>
      <c r="K20" s="18" t="n">
        <v>0</v>
      </c>
    </row>
    <row r="21" customFormat="false" ht="12.8" hidden="false" customHeight="false" outlineLevel="0" collapsed="false">
      <c r="A21" s="2" t="s">
        <v>48</v>
      </c>
      <c r="B21" s="2" t="n">
        <v>2023</v>
      </c>
      <c r="C21" s="16" t="n">
        <v>3436278</v>
      </c>
      <c r="D21" s="16" t="n">
        <v>101740275487.731</v>
      </c>
      <c r="E21" s="16" t="n">
        <v>29607.6963178564</v>
      </c>
      <c r="F21" s="16" t="n">
        <v>45025.8737992863</v>
      </c>
      <c r="G21" s="17" t="n">
        <v>0.657570721444294</v>
      </c>
      <c r="H21" s="2" t="s">
        <v>27</v>
      </c>
      <c r="I21" s="18" t="n">
        <v>0</v>
      </c>
      <c r="J21" s="18" t="n">
        <v>1</v>
      </c>
      <c r="K21" s="18" t="n">
        <v>0</v>
      </c>
    </row>
    <row r="22" customFormat="false" ht="12.8" hidden="false" customHeight="false" outlineLevel="0" collapsed="false">
      <c r="A22" s="2" t="s">
        <v>49</v>
      </c>
      <c r="B22" s="2" t="n">
        <v>2023</v>
      </c>
      <c r="C22" s="16" t="n">
        <v>1740255</v>
      </c>
      <c r="D22" s="16" t="n">
        <v>76456178592.768</v>
      </c>
      <c r="E22" s="16" t="n">
        <v>43933.8939366748</v>
      </c>
      <c r="F22" s="16" t="n">
        <v>45025.8737992863</v>
      </c>
      <c r="G22" s="17" t="n">
        <v>0.975747725241731</v>
      </c>
      <c r="H22" s="2" t="s">
        <v>30</v>
      </c>
      <c r="I22" s="18" t="n">
        <v>0</v>
      </c>
      <c r="J22" s="18" t="n">
        <v>0</v>
      </c>
      <c r="K22" s="18" t="n">
        <v>1</v>
      </c>
    </row>
    <row r="23" customFormat="false" ht="12.8" hidden="false" customHeight="false" outlineLevel="0" collapsed="false">
      <c r="A23" s="2" t="s">
        <v>50</v>
      </c>
      <c r="B23" s="2" t="n">
        <v>2023</v>
      </c>
      <c r="C23" s="16" t="n">
        <v>695270</v>
      </c>
      <c r="D23" s="16" t="n">
        <v>25124805110.0729</v>
      </c>
      <c r="E23" s="16" t="n">
        <v>36136.7599782428</v>
      </c>
      <c r="F23" s="16" t="n">
        <v>45025.8737992863</v>
      </c>
      <c r="G23" s="17" t="n">
        <v>0.802577649893729</v>
      </c>
      <c r="H23" s="2" t="s">
        <v>30</v>
      </c>
      <c r="I23" s="18" t="n">
        <v>0</v>
      </c>
      <c r="J23" s="18" t="n">
        <v>0</v>
      </c>
      <c r="K23" s="18" t="n">
        <v>1</v>
      </c>
    </row>
    <row r="24" customFormat="false" ht="12.8" hidden="false" customHeight="false" outlineLevel="0" collapsed="false">
      <c r="A24" s="2" t="s">
        <v>51</v>
      </c>
      <c r="B24" s="2" t="n">
        <v>2023</v>
      </c>
      <c r="C24" s="16" t="n">
        <v>11222292</v>
      </c>
      <c r="D24" s="16" t="n">
        <v>650107022417.552</v>
      </c>
      <c r="E24" s="16" t="n">
        <v>57929.9685320567</v>
      </c>
      <c r="F24" s="16" t="n">
        <v>45025.8737992863</v>
      </c>
      <c r="G24" s="17" t="n">
        <v>1.28659287747071</v>
      </c>
      <c r="H24" s="2" t="s">
        <v>35</v>
      </c>
      <c r="I24" s="18" t="n">
        <v>1</v>
      </c>
      <c r="J24" s="18" t="n">
        <v>0</v>
      </c>
      <c r="K24" s="18" t="n">
        <v>0</v>
      </c>
    </row>
    <row r="25" customFormat="false" ht="12.8" hidden="false" customHeight="false" outlineLevel="0" collapsed="false">
      <c r="A25" s="2" t="s">
        <v>52</v>
      </c>
      <c r="B25" s="2" t="n">
        <v>2023</v>
      </c>
      <c r="C25" s="16" t="n">
        <v>7927212</v>
      </c>
      <c r="D25" s="16" t="n">
        <v>513392973096.042</v>
      </c>
      <c r="E25" s="16" t="n">
        <v>64763.3711695918</v>
      </c>
      <c r="F25" s="16" t="n">
        <v>45025.8737992863</v>
      </c>
      <c r="G25" s="17" t="n">
        <v>1.43835900794042</v>
      </c>
      <c r="H25" s="2" t="s">
        <v>35</v>
      </c>
      <c r="I25" s="18" t="n">
        <v>1</v>
      </c>
      <c r="J25" s="18" t="n">
        <v>0</v>
      </c>
      <c r="K25" s="18" t="n">
        <v>0</v>
      </c>
    </row>
    <row r="26" customFormat="false" ht="12.8" hidden="false" customHeight="false" outlineLevel="0" collapsed="false">
      <c r="A26" s="2" t="s">
        <v>53</v>
      </c>
      <c r="B26" s="2" t="n">
        <v>2023</v>
      </c>
      <c r="C26" s="16" t="n">
        <v>2281994</v>
      </c>
      <c r="D26" s="16" t="n">
        <v>60816662028.6081</v>
      </c>
      <c r="E26" s="16" t="n">
        <v>26650.6669292768</v>
      </c>
      <c r="F26" s="16" t="n">
        <v>45025.8737992863</v>
      </c>
      <c r="G26" s="17" t="n">
        <v>0.591896718053238</v>
      </c>
      <c r="H26" s="2" t="s">
        <v>27</v>
      </c>
      <c r="I26" s="18" t="n">
        <v>0</v>
      </c>
      <c r="J26" s="18" t="n">
        <v>1</v>
      </c>
      <c r="K26" s="18" t="n">
        <v>0</v>
      </c>
    </row>
    <row r="27" customFormat="false" ht="12.8" hidden="false" customHeight="false" outlineLevel="0" collapsed="false">
      <c r="A27" s="2" t="s">
        <v>54</v>
      </c>
      <c r="B27" s="2" t="n">
        <v>2023</v>
      </c>
      <c r="C27" s="16" t="n">
        <v>45850570</v>
      </c>
      <c r="D27" s="16" t="n">
        <v>3444814032941.67</v>
      </c>
      <c r="E27" s="16" t="n">
        <v>75131.3240586032</v>
      </c>
      <c r="F27" s="16" t="n">
        <v>45025.8737992863</v>
      </c>
      <c r="G27" s="17" t="n">
        <v>1.66862556390397</v>
      </c>
      <c r="H27" s="2" t="s">
        <v>35</v>
      </c>
      <c r="I27" s="18" t="n">
        <v>1</v>
      </c>
      <c r="J27" s="18" t="n">
        <v>0</v>
      </c>
      <c r="K27" s="18" t="n">
        <v>0</v>
      </c>
    </row>
    <row r="28" customFormat="false" ht="12.8" hidden="false" customHeight="false" outlineLevel="0" collapsed="false">
      <c r="A28" s="2" t="s">
        <v>55</v>
      </c>
      <c r="B28" s="2" t="n">
        <v>2023</v>
      </c>
      <c r="C28" s="16" t="n">
        <v>1567191</v>
      </c>
      <c r="D28" s="16" t="n">
        <v>64317699019.5567</v>
      </c>
      <c r="E28" s="16" t="n">
        <v>41040.1150973664</v>
      </c>
      <c r="F28" s="16" t="n">
        <v>45025.8737992863</v>
      </c>
      <c r="G28" s="17" t="n">
        <v>0.911478481912703</v>
      </c>
      <c r="H28" s="2" t="s">
        <v>30</v>
      </c>
      <c r="I28" s="18" t="n">
        <v>0</v>
      </c>
      <c r="J28" s="18" t="n">
        <v>0</v>
      </c>
      <c r="K28" s="18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1" sqref="A1:B13 H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2" width="6.81"/>
    <col collapsed="false" customWidth="false" hidden="false" outlineLevel="0" max="2" min="2" style="22" width="11.53"/>
    <col collapsed="false" customWidth="false" hidden="false" outlineLevel="0" max="3" min="3" style="23" width="11.53"/>
    <col collapsed="false" customWidth="true" hidden="false" outlineLevel="0" max="4" min="4" style="24" width="18.45"/>
    <col collapsed="false" customWidth="true" hidden="false" outlineLevel="0" max="5" min="5" style="1" width="15.61"/>
  </cols>
  <sheetData>
    <row r="1" customFormat="false" ht="12.8" hidden="false" customHeight="false" outlineLevel="0" collapsed="false">
      <c r="A1" s="25" t="s">
        <v>15</v>
      </c>
      <c r="B1" s="25" t="s">
        <v>16</v>
      </c>
      <c r="C1" s="26" t="s">
        <v>17</v>
      </c>
      <c r="D1" s="27" t="s">
        <v>18</v>
      </c>
      <c r="E1" s="1" t="s">
        <v>19</v>
      </c>
    </row>
    <row r="2" customFormat="false" ht="12.8" hidden="false" customHeight="false" outlineLevel="0" collapsed="false">
      <c r="A2" s="22" t="s">
        <v>26</v>
      </c>
      <c r="B2" s="22" t="n">
        <v>2023</v>
      </c>
      <c r="C2" s="23" t="n">
        <v>876582</v>
      </c>
      <c r="D2" s="24" t="n">
        <v>26291321364.4799</v>
      </c>
      <c r="E2" s="28" t="n">
        <f aca="false">D2/C2</f>
        <v>29992.9970778317</v>
      </c>
    </row>
    <row r="3" customFormat="false" ht="12.8" hidden="false" customHeight="false" outlineLevel="0" collapsed="false">
      <c r="A3" s="22" t="s">
        <v>28</v>
      </c>
      <c r="B3" s="22" t="n">
        <v>2023</v>
      </c>
      <c r="C3" s="23" t="n">
        <v>3218607</v>
      </c>
      <c r="D3" s="24" t="n">
        <v>89688931894.2257</v>
      </c>
      <c r="E3" s="28" t="n">
        <f aca="false">D3/C3</f>
        <v>27865.7605275281</v>
      </c>
    </row>
    <row r="4" customFormat="false" ht="12.8" hidden="false" customHeight="false" outlineLevel="0" collapsed="false">
      <c r="A4" s="22" t="s">
        <v>29</v>
      </c>
      <c r="B4" s="22" t="n">
        <v>2023</v>
      </c>
      <c r="C4" s="23" t="n">
        <v>4240571</v>
      </c>
      <c r="D4" s="24" t="n">
        <v>161794976396.87</v>
      </c>
      <c r="E4" s="28" t="n">
        <f aca="false">D4/C4</f>
        <v>38154.0543471316</v>
      </c>
    </row>
    <row r="5" customFormat="false" ht="12.8" hidden="false" customHeight="false" outlineLevel="0" collapsed="false">
      <c r="A5" s="22" t="s">
        <v>31</v>
      </c>
      <c r="B5" s="22" t="n">
        <v>2023</v>
      </c>
      <c r="C5" s="23" t="n">
        <v>799124</v>
      </c>
      <c r="D5" s="24" t="n">
        <v>28020119554.4318</v>
      </c>
      <c r="E5" s="28" t="n">
        <f aca="false">D5/C5</f>
        <v>35063.5440237458</v>
      </c>
    </row>
    <row r="6" customFormat="false" ht="12.8" hidden="false" customHeight="false" outlineLevel="0" collapsed="false">
      <c r="A6" s="22" t="s">
        <v>32</v>
      </c>
      <c r="B6" s="22" t="n">
        <v>2023</v>
      </c>
      <c r="C6" s="23" t="n">
        <v>14828806</v>
      </c>
      <c r="D6" s="24" t="n">
        <v>430987853106.59</v>
      </c>
      <c r="E6" s="28" t="n">
        <f aca="false">D6/C6</f>
        <v>29064.231678976</v>
      </c>
    </row>
    <row r="7" customFormat="false" ht="12.8" hidden="false" customHeight="false" outlineLevel="0" collapsed="false">
      <c r="A7" s="22" t="s">
        <v>33</v>
      </c>
      <c r="B7" s="22" t="n">
        <v>2023</v>
      </c>
      <c r="C7" s="23" t="n">
        <v>9196672</v>
      </c>
      <c r="D7" s="24" t="n">
        <v>232239256519.666</v>
      </c>
      <c r="E7" s="28" t="n">
        <f aca="false">D7/C7</f>
        <v>25252.5322768569</v>
      </c>
    </row>
    <row r="8" customFormat="false" ht="12.8" hidden="false" customHeight="false" outlineLevel="0" collapsed="false">
      <c r="A8" s="22" t="s">
        <v>34</v>
      </c>
      <c r="B8" s="22" t="n">
        <v>2023</v>
      </c>
      <c r="C8" s="23" t="n">
        <v>2967543</v>
      </c>
      <c r="D8" s="24" t="n">
        <v>365669107906.195</v>
      </c>
      <c r="E8" s="28" t="n">
        <f aca="false">D8/C8</f>
        <v>123222.850656653</v>
      </c>
    </row>
    <row r="9" customFormat="false" ht="12.8" hidden="false" customHeight="false" outlineLevel="0" collapsed="false">
      <c r="A9" s="22" t="s">
        <v>36</v>
      </c>
      <c r="B9" s="22" t="n">
        <v>2023</v>
      </c>
      <c r="C9" s="23" t="n">
        <v>4076068</v>
      </c>
      <c r="D9" s="24" t="n">
        <v>209829732286.829</v>
      </c>
      <c r="E9" s="28" t="n">
        <f aca="false">D9/C9</f>
        <v>51478.4670635595</v>
      </c>
    </row>
    <row r="10" customFormat="false" ht="12.8" hidden="false" customHeight="false" outlineLevel="0" collapsed="false">
      <c r="A10" s="22" t="s">
        <v>37</v>
      </c>
      <c r="B10" s="22" t="n">
        <v>2023</v>
      </c>
      <c r="C10" s="23" t="n">
        <v>7274463</v>
      </c>
      <c r="D10" s="24" t="n">
        <v>336746975091.114</v>
      </c>
      <c r="E10" s="28" t="n">
        <f aca="false">D10/C10</f>
        <v>46291.6609914868</v>
      </c>
    </row>
    <row r="11" customFormat="false" ht="12.8" hidden="false" customHeight="false" outlineLevel="0" collapsed="false">
      <c r="A11" s="22" t="s">
        <v>38</v>
      </c>
      <c r="B11" s="22" t="n">
        <v>2023</v>
      </c>
      <c r="C11" s="23" t="n">
        <v>7003234</v>
      </c>
      <c r="D11" s="24" t="n">
        <v>149227194602.436</v>
      </c>
      <c r="E11" s="28" t="n">
        <f aca="false">D11/C11</f>
        <v>21308.3262107815</v>
      </c>
    </row>
    <row r="12" customFormat="false" ht="12.8" hidden="false" customHeight="false" outlineLevel="0" collapsed="false">
      <c r="A12" s="22" t="s">
        <v>39</v>
      </c>
      <c r="B12" s="22" t="n">
        <v>2023</v>
      </c>
      <c r="C12" s="23" t="n">
        <v>21247401</v>
      </c>
      <c r="D12" s="24" t="n">
        <v>971977550884.905</v>
      </c>
      <c r="E12" s="28" t="n">
        <f aca="false">D12/C12</f>
        <v>45745.715011681</v>
      </c>
    </row>
    <row r="13" customFormat="false" ht="12.8" hidden="false" customHeight="false" outlineLevel="0" collapsed="false">
      <c r="A13" s="22" t="s">
        <v>40</v>
      </c>
      <c r="B13" s="22" t="n">
        <v>2023</v>
      </c>
      <c r="C13" s="23" t="n">
        <v>2878009</v>
      </c>
      <c r="D13" s="24" t="n">
        <v>184402118243.339</v>
      </c>
      <c r="E13" s="28" t="n">
        <f aca="false">D13/C13</f>
        <v>64072.8080570071</v>
      </c>
    </row>
    <row r="14" customFormat="false" ht="12.8" hidden="false" customHeight="false" outlineLevel="0" collapsed="false">
      <c r="A14" s="22" t="s">
        <v>41</v>
      </c>
      <c r="B14" s="22" t="n">
        <v>2023</v>
      </c>
      <c r="C14" s="23" t="n">
        <v>3778389</v>
      </c>
      <c r="D14" s="24" t="n">
        <v>273008585685.231</v>
      </c>
      <c r="E14" s="28" t="n">
        <f aca="false">D14/C14</f>
        <v>72255.2880831569</v>
      </c>
    </row>
    <row r="15" customFormat="false" ht="12.8" hidden="false" customHeight="false" outlineLevel="0" collapsed="false">
      <c r="A15" s="22" t="s">
        <v>42</v>
      </c>
      <c r="B15" s="22" t="n">
        <v>2023</v>
      </c>
      <c r="C15" s="23" t="n">
        <v>8616120</v>
      </c>
      <c r="D15" s="24" t="n">
        <v>254546511204.228</v>
      </c>
      <c r="E15" s="28" t="n">
        <f aca="false">D15/C15</f>
        <v>29543.0554825406</v>
      </c>
    </row>
    <row r="16" customFormat="false" ht="12.8" hidden="false" customHeight="false" outlineLevel="0" collapsed="false">
      <c r="A16" s="22" t="s">
        <v>43</v>
      </c>
      <c r="B16" s="22" t="n">
        <v>2023</v>
      </c>
      <c r="C16" s="23" t="n">
        <v>4124468</v>
      </c>
      <c r="D16" s="24" t="n">
        <v>96963173980.7637</v>
      </c>
      <c r="E16" s="28" t="n">
        <f aca="false">D16/C16</f>
        <v>23509.255976956</v>
      </c>
    </row>
    <row r="17" customFormat="false" ht="12.8" hidden="false" customHeight="false" outlineLevel="0" collapsed="false">
      <c r="A17" s="22" t="s">
        <v>44</v>
      </c>
      <c r="B17" s="22" t="n">
        <v>2023</v>
      </c>
      <c r="C17" s="23" t="n">
        <v>9514483</v>
      </c>
      <c r="D17" s="24" t="n">
        <v>270474919454.315</v>
      </c>
      <c r="E17" s="28" t="n">
        <f aca="false">D17/C17</f>
        <v>28427.7053681545</v>
      </c>
    </row>
    <row r="18" customFormat="false" ht="12.8" hidden="false" customHeight="false" outlineLevel="0" collapsed="false">
      <c r="A18" s="22" t="s">
        <v>45</v>
      </c>
      <c r="B18" s="22" t="n">
        <v>2023</v>
      </c>
      <c r="C18" s="23" t="n">
        <v>3365881</v>
      </c>
      <c r="D18" s="24" t="n">
        <v>80916856498.5588</v>
      </c>
      <c r="E18" s="28" t="n">
        <f aca="false">D18/C18</f>
        <v>24040.3200524792</v>
      </c>
    </row>
    <row r="19" customFormat="false" ht="12.8" hidden="false" customHeight="false" outlineLevel="0" collapsed="false">
      <c r="A19" s="22" t="s">
        <v>46</v>
      </c>
      <c r="B19" s="22" t="n">
        <v>2023</v>
      </c>
      <c r="C19" s="23" t="n">
        <v>11753862</v>
      </c>
      <c r="D19" s="24" t="n">
        <v>670919162170.899</v>
      </c>
      <c r="E19" s="28" t="n">
        <f aca="false">D19/C19</f>
        <v>57080.7418166811</v>
      </c>
    </row>
    <row r="20" customFormat="false" ht="12.8" hidden="false" customHeight="false" outlineLevel="0" collapsed="false">
      <c r="A20" s="22" t="s">
        <v>47</v>
      </c>
      <c r="B20" s="22" t="n">
        <v>2023</v>
      </c>
      <c r="C20" s="23" t="n">
        <v>17213813</v>
      </c>
      <c r="D20" s="24" t="n">
        <v>1172871443365.97</v>
      </c>
      <c r="E20" s="28" t="n">
        <f aca="false">D20/C20</f>
        <v>68135.4818578528</v>
      </c>
    </row>
    <row r="21" customFormat="false" ht="12.8" hidden="false" customHeight="false" outlineLevel="0" collapsed="false">
      <c r="A21" s="22" t="s">
        <v>48</v>
      </c>
      <c r="B21" s="22" t="n">
        <v>2023</v>
      </c>
      <c r="C21" s="23" t="n">
        <v>3436278</v>
      </c>
      <c r="D21" s="24" t="n">
        <v>101740275487.731</v>
      </c>
      <c r="E21" s="28" t="n">
        <f aca="false">D21/C21</f>
        <v>29607.6963178564</v>
      </c>
    </row>
    <row r="22" customFormat="false" ht="12.8" hidden="false" customHeight="false" outlineLevel="0" collapsed="false">
      <c r="A22" s="22" t="s">
        <v>49</v>
      </c>
      <c r="B22" s="22" t="n">
        <v>2023</v>
      </c>
      <c r="C22" s="23" t="n">
        <v>1740255</v>
      </c>
      <c r="D22" s="24" t="n">
        <v>76456178592.768</v>
      </c>
      <c r="E22" s="28" t="n">
        <f aca="false">D22/C22</f>
        <v>43933.8939366748</v>
      </c>
    </row>
    <row r="23" customFormat="false" ht="12.8" hidden="false" customHeight="false" outlineLevel="0" collapsed="false">
      <c r="A23" s="22" t="s">
        <v>50</v>
      </c>
      <c r="B23" s="22" t="n">
        <v>2023</v>
      </c>
      <c r="C23" s="23" t="n">
        <v>695270</v>
      </c>
      <c r="D23" s="24" t="n">
        <v>25124805110.0729</v>
      </c>
      <c r="E23" s="28" t="n">
        <f aca="false">D23/C23</f>
        <v>36136.7599782428</v>
      </c>
    </row>
    <row r="24" customFormat="false" ht="12.8" hidden="false" customHeight="false" outlineLevel="0" collapsed="false">
      <c r="A24" s="22" t="s">
        <v>51</v>
      </c>
      <c r="B24" s="22" t="n">
        <v>2023</v>
      </c>
      <c r="C24" s="23" t="n">
        <v>11222292</v>
      </c>
      <c r="D24" s="24" t="n">
        <v>650107022417.552</v>
      </c>
      <c r="E24" s="28" t="n">
        <f aca="false">D24/C24</f>
        <v>57929.9685320567</v>
      </c>
    </row>
    <row r="25" customFormat="false" ht="12.8" hidden="false" customHeight="false" outlineLevel="0" collapsed="false">
      <c r="A25" s="22" t="s">
        <v>52</v>
      </c>
      <c r="B25" s="22" t="n">
        <v>2023</v>
      </c>
      <c r="C25" s="23" t="n">
        <v>7927212</v>
      </c>
      <c r="D25" s="24" t="n">
        <v>513392973096.042</v>
      </c>
      <c r="E25" s="28" t="n">
        <f aca="false">D25/C25</f>
        <v>64763.3711695918</v>
      </c>
    </row>
    <row r="26" customFormat="false" ht="12.8" hidden="false" customHeight="false" outlineLevel="0" collapsed="false">
      <c r="A26" s="22" t="s">
        <v>53</v>
      </c>
      <c r="B26" s="22" t="n">
        <v>2023</v>
      </c>
      <c r="C26" s="23" t="n">
        <v>2281994</v>
      </c>
      <c r="D26" s="24" t="n">
        <v>60816662028.6081</v>
      </c>
      <c r="E26" s="28" t="n">
        <f aca="false">D26/C26</f>
        <v>26650.6669292768</v>
      </c>
    </row>
    <row r="27" customFormat="false" ht="12.8" hidden="false" customHeight="false" outlineLevel="0" collapsed="false">
      <c r="A27" s="22" t="s">
        <v>54</v>
      </c>
      <c r="B27" s="22" t="n">
        <v>2023</v>
      </c>
      <c r="C27" s="23" t="n">
        <v>45850570</v>
      </c>
      <c r="D27" s="24" t="n">
        <v>3444814032941.67</v>
      </c>
      <c r="E27" s="28" t="n">
        <f aca="false">D27/C27</f>
        <v>75131.3240586032</v>
      </c>
    </row>
    <row r="28" customFormat="false" ht="12.8" hidden="false" customHeight="false" outlineLevel="0" collapsed="false">
      <c r="A28" s="22" t="s">
        <v>55</v>
      </c>
      <c r="B28" s="22" t="n">
        <v>2023</v>
      </c>
      <c r="C28" s="23" t="n">
        <v>1567191</v>
      </c>
      <c r="D28" s="24" t="n">
        <v>64317699019.5567</v>
      </c>
      <c r="E28" s="28" t="n">
        <f aca="false">D28/C28</f>
        <v>41040.1150973664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2026-01-02T00:46:30Z</dcterms:created>
  <dc:creator>Elson Rodrigo Souza Santos</dc:creator>
  <dc:description/>
  <dc:language>pt-BR</dc:language>
  <cp:lastModifiedBy>Elson Rodrigo Souza Santos</cp:lastModifiedBy>
  <dcterms:modified xsi:type="dcterms:W3CDTF">2026-01-02T01:40:56Z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